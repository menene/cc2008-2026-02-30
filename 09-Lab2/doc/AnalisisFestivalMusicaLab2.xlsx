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C:\Universidad26\POOtrabajos\"/>
    </mc:Choice>
  </mc:AlternateContent>
  <xr:revisionPtr revIDLastSave="0" documentId="13_ncr:1_{B1C0E301-8C0C-4458-A828-C9980DFD90DE}" xr6:coauthVersionLast="47" xr6:coauthVersionMax="47" xr10:uidLastSave="{00000000-0000-0000-0000-000000000000}"/>
  <bookViews>
    <workbookView xWindow="-108" yWindow="-108" windowWidth="23256" windowHeight="12456" xr2:uid="{00000000-000D-0000-FFFF-FFFF00000000}"/>
  </bookViews>
  <sheets>
    <sheet name="Hoja1" sheetId="1" r:id="rId1"/>
    <sheet name="Hoja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84" i="1" l="1"/>
  <c r="A85" i="1"/>
  <c r="A86" i="1" s="1"/>
  <c r="A87" i="1" s="1"/>
  <c r="A88" i="1" s="1"/>
  <c r="A89" i="1" s="1"/>
  <c r="A90" i="1" s="1"/>
  <c r="A91" i="1" s="1"/>
  <c r="A92" i="1" s="1"/>
  <c r="A93" i="1" s="1"/>
  <c r="A94" i="1" s="1"/>
  <c r="A95" i="1" s="1"/>
  <c r="A96" i="1" s="1"/>
  <c r="A97" i="1" s="1"/>
  <c r="A98" i="1" s="1"/>
  <c r="A77" i="1"/>
  <c r="A78" i="1"/>
  <c r="A79" i="1"/>
  <c r="A80" i="1" s="1"/>
  <c r="A81" i="1" s="1"/>
  <c r="A82" i="1" s="1"/>
  <c r="A83" i="1" s="1"/>
  <c r="A65" i="1"/>
  <c r="A66" i="1"/>
  <c r="A67" i="1" s="1"/>
  <c r="A68" i="1" s="1"/>
  <c r="A69" i="1" s="1"/>
  <c r="A70" i="1" s="1"/>
  <c r="A71" i="1" s="1"/>
  <c r="A72" i="1" s="1"/>
  <c r="A73" i="1" s="1"/>
  <c r="A74" i="1" s="1"/>
  <c r="A75" i="1" s="1"/>
  <c r="A76" i="1" s="1"/>
  <c r="A28" i="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4" i="1"/>
  <c r="A5" i="1" s="1"/>
  <c r="A6" i="1" s="1"/>
  <c r="A7" i="1" s="1"/>
  <c r="A8" i="1" s="1"/>
  <c r="A9" i="1" s="1"/>
  <c r="A10" i="1" s="1"/>
  <c r="A11" i="1" s="1"/>
  <c r="A12" i="1" s="1"/>
  <c r="A13" i="1" s="1"/>
  <c r="A14" i="1" s="1"/>
  <c r="A15" i="1" s="1"/>
  <c r="A16" i="1" s="1"/>
  <c r="A17" i="1" s="1"/>
  <c r="A18" i="1" s="1"/>
  <c r="A19" i="1" s="1"/>
  <c r="A20" i="1" s="1"/>
  <c r="A21" i="1" s="1"/>
  <c r="A22" i="1" s="1"/>
</calcChain>
</file>

<file path=xl/sharedStrings.xml><?xml version="1.0" encoding="utf-8"?>
<sst xmlns="http://schemas.openxmlformats.org/spreadsheetml/2006/main" count="472" uniqueCount="211">
  <si>
    <t>#</t>
  </si>
  <si>
    <t>Nombre</t>
  </si>
  <si>
    <t>Tipo</t>
  </si>
  <si>
    <t>Visibilidad</t>
  </si>
  <si>
    <t>Clase</t>
  </si>
  <si>
    <t>Motivo</t>
  </si>
  <si>
    <t>nombre</t>
  </si>
  <si>
    <t>String</t>
  </si>
  <si>
    <t>int</t>
  </si>
  <si>
    <t>private</t>
  </si>
  <si>
    <t>Scanner</t>
  </si>
  <si>
    <t>vista</t>
  </si>
  <si>
    <t>double</t>
  </si>
  <si>
    <t>public</t>
  </si>
  <si>
    <t>Constructor</t>
  </si>
  <si>
    <t>void</t>
  </si>
  <si>
    <t>public static</t>
  </si>
  <si>
    <t>Main</t>
  </si>
  <si>
    <t>scanner</t>
  </si>
  <si>
    <t>Tabla de métodos</t>
  </si>
  <si>
    <t>Tabla de propiedades</t>
  </si>
  <si>
    <t>Preguntas</t>
  </si>
  <si>
    <t>¿Cómo determinará si una posición del arreglo contiene un escenario o contiene null?</t>
  </si>
  <si>
    <t>¿Cómo realizará las operaciones de búsqueda, modificación y eliminación dentro del
ArrayList?</t>
  </si>
  <si>
    <t>¿Qué situaciones del programa pueden producir excepciones? Identifique qué excepciones deberán manejarse y en qué partes del programa utilizará try-catch y finally.</t>
  </si>
  <si>
    <t>Inicia el sistema mediante el controlador</t>
  </si>
  <si>
    <t>codigo</t>
  </si>
  <si>
    <t>coordinador</t>
  </si>
  <si>
    <t>escenarios</t>
  </si>
  <si>
    <t>Private</t>
  </si>
  <si>
    <t>Escenarios[5]</t>
  </si>
  <si>
    <t>artistas</t>
  </si>
  <si>
    <t>Arraylist(artistas)</t>
  </si>
  <si>
    <t>Festival</t>
  </si>
  <si>
    <t>Guarda nombre</t>
  </si>
  <si>
    <t>Guarda código</t>
  </si>
  <si>
    <t>Guarda al coordinador</t>
  </si>
  <si>
    <t>Hace la lista con el limite de valores que puede guardar</t>
  </si>
  <si>
    <t>Lista dinámica con los artistas</t>
  </si>
  <si>
    <t xml:space="preserve">codigo </t>
  </si>
  <si>
    <t>ubicación</t>
  </si>
  <si>
    <t>capacidadMaxima</t>
  </si>
  <si>
    <t>estado</t>
  </si>
  <si>
    <t>nombreArtista</t>
  </si>
  <si>
    <t>generoMusical</t>
  </si>
  <si>
    <t>duracionPresentacion</t>
  </si>
  <si>
    <t>cantidadEstimadaAsistentes</t>
  </si>
  <si>
    <t>festivalActual</t>
  </si>
  <si>
    <t>Escenario</t>
  </si>
  <si>
    <t>Artista</t>
  </si>
  <si>
    <t>VistaFestival</t>
  </si>
  <si>
    <t>ControladorFEstival</t>
  </si>
  <si>
    <t>Guarda el código</t>
  </si>
  <si>
    <t>Guarda el nombre</t>
  </si>
  <si>
    <t>Guarda la ubicación</t>
  </si>
  <si>
    <t>Guarda la cantidad máxima de aforo</t>
  </si>
  <si>
    <t xml:space="preserve">Guarda el estado </t>
  </si>
  <si>
    <t>Guarda el codigo</t>
  </si>
  <si>
    <t xml:space="preserve">Guarda el nombre del artista </t>
  </si>
  <si>
    <t>Guarda el genero musical del artista</t>
  </si>
  <si>
    <t>Guarda el la cantidad de tiempo que dura el set</t>
  </si>
  <si>
    <t>Guarda la cantidad estimada de aforo</t>
  </si>
  <si>
    <t>Scanner de la info</t>
  </si>
  <si>
    <t>Almacena el festival actual</t>
  </si>
  <si>
    <t>Muestra la información al usuario</t>
  </si>
  <si>
    <t xml:space="preserve">Festival </t>
  </si>
  <si>
    <t>Festival(String nombre, String codigo, String coordinador)</t>
  </si>
  <si>
    <r>
      <t xml:space="preserve">Inicializa los datos del festival, el arreglo de cinco escenarios y el </t>
    </r>
    <r>
      <rPr>
        <sz val="10"/>
        <color theme="1"/>
        <rFont val="Arial Unicode MS"/>
      </rPr>
      <t>ArrayList</t>
    </r>
    <r>
      <rPr>
        <sz val="11"/>
        <color theme="1"/>
        <rFont val="Calibri"/>
        <family val="2"/>
        <scheme val="minor"/>
      </rPr>
      <t xml:space="preserve"> de artistas.</t>
    </r>
  </si>
  <si>
    <t>getNombre()</t>
  </si>
  <si>
    <t>Devuelve el nombre del festival.</t>
  </si>
  <si>
    <t>getCodigo()</t>
  </si>
  <si>
    <t>Devuelve su código de identificación.</t>
  </si>
  <si>
    <t>getCoordinador()</t>
  </si>
  <si>
    <t>Devuelve el nombre del coordinador.</t>
  </si>
  <si>
    <t>configurarEscenario(int posicion, Escenario escenario)</t>
  </si>
  <si>
    <t>Coloca un escenario en una posición válida y disponible.</t>
  </si>
  <si>
    <t>obtenerEscenario(int posicion)</t>
  </si>
  <si>
    <t>Devuelve el escenario de una posición específica.</t>
  </si>
  <si>
    <t>modificarEscenario(int posicion, int nuevaCapacidad, String nuevoEstado)</t>
  </si>
  <si>
    <t>Modifica la capacidad y el estado de un escenario existente.</t>
  </si>
  <si>
    <t>retirarEscenario(int posicion)</t>
  </si>
  <si>
    <r>
      <t xml:space="preserve">Coloca </t>
    </r>
    <r>
      <rPr>
        <sz val="10"/>
        <color theme="1"/>
        <rFont val="Arial Unicode MS"/>
      </rPr>
      <t>null</t>
    </r>
    <r>
      <rPr>
        <sz val="11"/>
        <color theme="1"/>
        <rFont val="Calibri"/>
        <family val="2"/>
        <scheme val="minor"/>
      </rPr>
      <t xml:space="preserve"> en la posición del escenario retirado.</t>
    </r>
  </si>
  <si>
    <t>getCantidadPosicionesEscenarios()</t>
  </si>
  <si>
    <t>Devuelve el tamaño del arreglo, que será 5.</t>
  </si>
  <si>
    <t>contarEscenariosConfigurados()</t>
  </si>
  <si>
    <r>
      <t xml:space="preserve">Cuenta las posiciones que no contienen </t>
    </r>
    <r>
      <rPr>
        <sz val="10"/>
        <color theme="1"/>
        <rFont val="Arial Unicode MS"/>
      </rPr>
      <t>null</t>
    </r>
    <r>
      <rPr>
        <sz val="11"/>
        <color theme="1"/>
        <rFont val="Calibri"/>
        <family val="2"/>
        <scheme val="minor"/>
      </rPr>
      <t>.</t>
    </r>
  </si>
  <si>
    <t>contarEspaciosDisponibles()</t>
  </si>
  <si>
    <r>
      <t xml:space="preserve">Cuenta las posiciones que contienen </t>
    </r>
    <r>
      <rPr>
        <sz val="10"/>
        <color theme="1"/>
        <rFont val="Arial Unicode MS"/>
      </rPr>
      <t>null</t>
    </r>
    <r>
      <rPr>
        <sz val="11"/>
        <color theme="1"/>
        <rFont val="Calibri"/>
        <family val="2"/>
        <scheme val="minor"/>
      </rPr>
      <t>.</t>
    </r>
  </si>
  <si>
    <t>obtenerEscenarioMayorCapacidad()</t>
  </si>
  <si>
    <r>
      <t xml:space="preserve">Devuelve el escenario con mayor capacidad o </t>
    </r>
    <r>
      <rPr>
        <sz val="10"/>
        <color theme="1"/>
        <rFont val="Arial Unicode MS"/>
      </rPr>
      <t>null</t>
    </r>
    <r>
      <rPr>
        <sz val="11"/>
        <color theme="1"/>
        <rFont val="Calibri"/>
        <family val="2"/>
        <scheme val="minor"/>
      </rPr>
      <t xml:space="preserve"> si no existe ninguno.</t>
    </r>
  </si>
  <si>
    <t>registrarArtista(Artista artista)</t>
  </si>
  <si>
    <t>Agrega un artista si su código no está repetido.</t>
  </si>
  <si>
    <t>buscarArtista(String codigo)</t>
  </si>
  <si>
    <r>
      <t xml:space="preserve">Recorre el </t>
    </r>
    <r>
      <rPr>
        <sz val="10"/>
        <color theme="1"/>
        <rFont val="Arial Unicode MS"/>
      </rPr>
      <t>ArrayList</t>
    </r>
    <r>
      <rPr>
        <sz val="11"/>
        <color theme="1"/>
        <rFont val="Calibri"/>
        <family val="2"/>
        <scheme val="minor"/>
      </rPr>
      <t xml:space="preserve"> y devuelve al artista encontrado o </t>
    </r>
    <r>
      <rPr>
        <sz val="10"/>
        <color theme="1"/>
        <rFont val="Arial Unicode MS"/>
      </rPr>
      <t>null</t>
    </r>
    <r>
      <rPr>
        <sz val="11"/>
        <color theme="1"/>
        <rFont val="Calibri"/>
        <family val="2"/>
        <scheme val="minor"/>
      </rPr>
      <t>.</t>
    </r>
  </si>
  <si>
    <t>modificarArtista(String codigoActual, String nuevoCodigo, String nuevoNombre, String nuevoGenero, int nuevaDuracion, int nuevosAsistentes)</t>
  </si>
  <si>
    <t>Localiza al artista y modifica su información después de validar los nuevos datos.</t>
  </si>
  <si>
    <t>cancelarParticipacion(String codigo)</t>
  </si>
  <si>
    <r>
      <t xml:space="preserve">Busca al artista y lo elimina del </t>
    </r>
    <r>
      <rPr>
        <sz val="10"/>
        <color theme="1"/>
        <rFont val="Arial Unicode MS"/>
      </rPr>
      <t>ArrayList</t>
    </r>
    <r>
      <rPr>
        <sz val="11"/>
        <color theme="1"/>
        <rFont val="Calibri"/>
        <family val="2"/>
        <scheme val="minor"/>
      </rPr>
      <t>.</t>
    </r>
  </si>
  <si>
    <t>obtenerCantidadArtistas()</t>
  </si>
  <si>
    <t>Devuelve el número de artistas registrados.</t>
  </si>
  <si>
    <t>obtenerArtista(int indice)</t>
  </si>
  <si>
    <r>
      <t xml:space="preserve">Devuelve el artista almacenado en una posición del </t>
    </r>
    <r>
      <rPr>
        <sz val="10"/>
        <color theme="1"/>
        <rFont val="Arial Unicode MS"/>
      </rPr>
      <t>ArrayList</t>
    </r>
    <r>
      <rPr>
        <sz val="11"/>
        <color theme="1"/>
        <rFont val="Calibri"/>
        <family val="2"/>
        <scheme val="minor"/>
      </rPr>
      <t>.</t>
    </r>
  </si>
  <si>
    <t>obtenerArtistaMayorDuracion()</t>
  </si>
  <si>
    <r>
      <t xml:space="preserve">Devuelve el artista con la presentación más larga o </t>
    </r>
    <r>
      <rPr>
        <sz val="10"/>
        <color theme="1"/>
        <rFont val="Arial Unicode MS"/>
      </rPr>
      <t>null</t>
    </r>
    <r>
      <rPr>
        <sz val="11"/>
        <color theme="1"/>
        <rFont val="Calibri"/>
        <family val="2"/>
        <scheme val="minor"/>
      </rPr>
      <t xml:space="preserve"> si la colección está vacía.</t>
    </r>
  </si>
  <si>
    <t>obtenerArtistaMayorAsistencia()</t>
  </si>
  <si>
    <r>
      <t xml:space="preserve">Devuelve el artista con mayor asistencia estimada o </t>
    </r>
    <r>
      <rPr>
        <sz val="10"/>
        <color theme="1"/>
        <rFont val="Arial Unicode MS"/>
      </rPr>
      <t>null</t>
    </r>
    <r>
      <rPr>
        <sz val="11"/>
        <color theme="1"/>
        <rFont val="Calibri"/>
        <family val="2"/>
        <scheme val="minor"/>
      </rPr>
      <t>.</t>
    </r>
  </si>
  <si>
    <t>calcularPromedioDuracion()</t>
  </si>
  <si>
    <r>
      <t xml:space="preserve">Calcula el promedio de duración. Devuelve </t>
    </r>
    <r>
      <rPr>
        <sz val="10"/>
        <color theme="1"/>
        <rFont val="Arial Unicode MS"/>
      </rPr>
      <t>0.0</t>
    </r>
    <r>
      <rPr>
        <sz val="11"/>
        <color theme="1"/>
        <rFont val="Calibri"/>
        <family val="2"/>
        <scheme val="minor"/>
      </rPr>
      <t xml:space="preserve"> si no hay artistas.</t>
    </r>
  </si>
  <si>
    <t>validarPosicion(int posicion)</t>
  </si>
  <si>
    <r>
      <t xml:space="preserve">Comprueba que la posición esté entre </t>
    </r>
    <r>
      <rPr>
        <sz val="10"/>
        <color theme="1"/>
        <rFont val="Arial Unicode MS"/>
      </rPr>
      <t>0</t>
    </r>
    <r>
      <rPr>
        <sz val="11"/>
        <color theme="1"/>
        <rFont val="Calibri"/>
        <family val="2"/>
        <scheme val="minor"/>
      </rPr>
      <t xml:space="preserve"> y </t>
    </r>
    <r>
      <rPr>
        <sz val="10"/>
        <color theme="1"/>
        <rFont val="Arial Unicode MS"/>
      </rPr>
      <t>4</t>
    </r>
    <r>
      <rPr>
        <sz val="11"/>
        <color theme="1"/>
        <rFont val="Calibri"/>
        <family val="2"/>
        <scheme val="minor"/>
      </rPr>
      <t>.</t>
    </r>
  </si>
  <si>
    <t>buscarIndiceArtista(String codigo)</t>
  </si>
  <si>
    <r>
      <t xml:space="preserve">Devuelve el índice del artista o </t>
    </r>
    <r>
      <rPr>
        <sz val="10"/>
        <color theme="1"/>
        <rFont val="Arial Unicode MS"/>
      </rPr>
      <t>-1</t>
    </r>
    <r>
      <rPr>
        <sz val="11"/>
        <color theme="1"/>
        <rFont val="Calibri"/>
        <family val="2"/>
        <scheme val="minor"/>
      </rPr>
      <t xml:space="preserve"> si no lo encuentra.</t>
    </r>
  </si>
  <si>
    <t>existeCodigoArtista(String codigo)</t>
  </si>
  <si>
    <t>boolean</t>
  </si>
  <si>
    <t>Determina si ya existe un artista con ese código.</t>
  </si>
  <si>
    <t>Escenario(String codigo, String nombre, String ubicacion, int capacidadMaxima, String estado)</t>
  </si>
  <si>
    <t>Inicializa un escenario y valida sus datos.</t>
  </si>
  <si>
    <t>Devuelve el código del escenario.</t>
  </si>
  <si>
    <t>Devuelve el nombre del escenario.</t>
  </si>
  <si>
    <t>getUbicacion()</t>
  </si>
  <si>
    <t>Devuelve la ubicación del escenario.</t>
  </si>
  <si>
    <t>getCapacidadMaxima()</t>
  </si>
  <si>
    <t>Devuelve su capacidad máxima.</t>
  </si>
  <si>
    <t>getEstado()</t>
  </si>
  <si>
    <t>Devuelve el estado actual.</t>
  </si>
  <si>
    <t>setCapacidadMaxima(int capacidadMaxima)</t>
  </si>
  <si>
    <r>
      <t xml:space="preserve">Modifica la capacidad. Lanza </t>
    </r>
    <r>
      <rPr>
        <sz val="10"/>
        <color theme="1"/>
        <rFont val="Arial Unicode MS"/>
      </rPr>
      <t>IllegalArgumentException</t>
    </r>
    <r>
      <rPr>
        <sz val="11"/>
        <color theme="1"/>
        <rFont val="Calibri"/>
        <family val="2"/>
        <scheme val="minor"/>
      </rPr>
      <t xml:space="preserve"> si es menor o igual que cero.</t>
    </r>
  </si>
  <si>
    <t>setEstado(String estado)</t>
  </si>
  <si>
    <r>
      <t xml:space="preserve">Modifica el estado y evita valores vacíos o </t>
    </r>
    <r>
      <rPr>
        <sz val="10"/>
        <color theme="1"/>
        <rFont val="Arial Unicode MS"/>
      </rPr>
      <t>null</t>
    </r>
    <r>
      <rPr>
        <sz val="11"/>
        <color theme="1"/>
        <rFont val="Calibri"/>
        <family val="2"/>
        <scheme val="minor"/>
      </rPr>
      <t>.</t>
    </r>
  </si>
  <si>
    <t>Artista(String codigo, String nombreArtistico, String generoMusical, int duracionPresentacion, int cantidadEstimadaAsistentes)</t>
  </si>
  <si>
    <t>Inicializa y valida la información del artista.</t>
  </si>
  <si>
    <t>Devuelve el código del artista.</t>
  </si>
  <si>
    <t>getNombreArtistico()</t>
  </si>
  <si>
    <t>Devuelve el nombre artístico.</t>
  </si>
  <si>
    <t>getGeneroMusical()</t>
  </si>
  <si>
    <t>Devuelve el género musical.</t>
  </si>
  <si>
    <t>getDuracionPresentacion()</t>
  </si>
  <si>
    <t>Devuelve la duración en minutos.</t>
  </si>
  <si>
    <t>getCantidadEstimadaAsistentes()</t>
  </si>
  <si>
    <t>Devuelve la asistencia estimada.</t>
  </si>
  <si>
    <t>setCodigo(String codigo)</t>
  </si>
  <si>
    <t>Modifica el código después de validar que no esté vacío.</t>
  </si>
  <si>
    <t>setNombreArtistico(String nombre)</t>
  </si>
  <si>
    <t>Modifica el nombre artístico.</t>
  </si>
  <si>
    <t>setGeneroMusical(String genero)</t>
  </si>
  <si>
    <t>Modifica el género musical.</t>
  </si>
  <si>
    <t>setDuracionPresentacion(int duracion)</t>
  </si>
  <si>
    <t>Modifica la duración. Debe ser mayor que cero.</t>
  </si>
  <si>
    <t>setCantidadEstimadaAsistentes(int asistentes)</t>
  </si>
  <si>
    <t>Modifica la asistencia estimada. No puede ser negativa.</t>
  </si>
  <si>
    <t>VistaFestival()</t>
  </si>
  <si>
    <r>
      <t xml:space="preserve">Inicializa el objeto </t>
    </r>
    <r>
      <rPr>
        <sz val="10"/>
        <color theme="1"/>
        <rFont val="Arial Unicode MS"/>
      </rPr>
      <t>Scanner</t>
    </r>
    <r>
      <rPr>
        <sz val="11"/>
        <color theme="1"/>
        <rFont val="Calibri"/>
        <family val="2"/>
        <scheme val="minor"/>
      </rPr>
      <t>.</t>
    </r>
  </si>
  <si>
    <t>leerTexto(String mensaje)</t>
  </si>
  <si>
    <t>Muestra una indicación y solicita texto.</t>
  </si>
  <si>
    <t>leerEntero(String mensaje)</t>
  </si>
  <si>
    <r>
      <t xml:space="preserve">Solicita un número entero. Puede producir </t>
    </r>
    <r>
      <rPr>
        <sz val="10"/>
        <color theme="1"/>
        <rFont val="Arial Unicode MS"/>
      </rPr>
      <t>InputMismatchException</t>
    </r>
    <r>
      <rPr>
        <sz val="11"/>
        <color theme="1"/>
        <rFont val="Calibri"/>
        <family val="2"/>
        <scheme val="minor"/>
      </rPr>
      <t>.</t>
    </r>
  </si>
  <si>
    <t>limpiarEntrada()</t>
  </si>
  <si>
    <r>
      <t xml:space="preserve">Descarta una entrada incorrecta del </t>
    </r>
    <r>
      <rPr>
        <sz val="10"/>
        <color theme="1"/>
        <rFont val="Arial Unicode MS"/>
      </rPr>
      <t>Scanner</t>
    </r>
    <r>
      <rPr>
        <sz val="11"/>
        <color theme="1"/>
        <rFont val="Calibri"/>
        <family val="2"/>
        <scheme val="minor"/>
      </rPr>
      <t>.</t>
    </r>
  </si>
  <si>
    <t>mostrarMenu()</t>
  </si>
  <si>
    <t>Muestra las trece opciones del programa.</t>
  </si>
  <si>
    <t>solicitarOpcion()</t>
  </si>
  <si>
    <t>Solicita la opción del menú.</t>
  </si>
  <si>
    <t>mostrarMensaje(String mensaje)</t>
  </si>
  <si>
    <t>Muestra una confirmación o información general.</t>
  </si>
  <si>
    <t>mostrarError(String mensaje)</t>
  </si>
  <si>
    <t>Muestra un mensaje de error.</t>
  </si>
  <si>
    <t>mostrarFestival(Festival festival)</t>
  </si>
  <si>
    <t>Presenta la información general del festival.</t>
  </si>
  <si>
    <t>mostrarEscenario(int posicion, Escenario escenario)</t>
  </si>
  <si>
    <t>Muestra un escenario y la posición que ocupa.</t>
  </si>
  <si>
    <t>mostrarArtista(Artista artista)</t>
  </si>
  <si>
    <t>Presenta la información de un artista.</t>
  </si>
  <si>
    <t>mostrarReporte(...)</t>
  </si>
  <si>
    <t>Presenta todos los resultados calculados para el reporte.</t>
  </si>
  <si>
    <t>cerrar()</t>
  </si>
  <si>
    <r>
      <t xml:space="preserve">Cierra el </t>
    </r>
    <r>
      <rPr>
        <sz val="10"/>
        <color theme="1"/>
        <rFont val="Arial Unicode MS"/>
      </rPr>
      <t>Scanner</t>
    </r>
    <r>
      <rPr>
        <sz val="11"/>
        <color theme="1"/>
        <rFont val="Calibri"/>
        <family val="2"/>
        <scheme val="minor"/>
      </rPr>
      <t xml:space="preserve"> al terminar el programa.</t>
    </r>
  </si>
  <si>
    <t>ControladorFestival(VistaFestival vista)</t>
  </si>
  <si>
    <t>Recibe y almacena la vista que utilizará el controlador.</t>
  </si>
  <si>
    <t>iniciar()</t>
  </si>
  <si>
    <t>Solicita el festival inicial y mantiene funcionando el menú.</t>
  </si>
  <si>
    <t>procesarOpcion(int opcion)</t>
  </si>
  <si>
    <t>Determina qué operación debe ejecutarse según la opción elegida.</t>
  </si>
  <si>
    <t>crearNuevoFestival()</t>
  </si>
  <si>
    <r>
      <t xml:space="preserve">Solicita los datos y reemplaza </t>
    </r>
    <r>
      <rPr>
        <sz val="10"/>
        <color theme="1"/>
        <rFont val="Arial Unicode MS"/>
      </rPr>
      <t>festivalActual</t>
    </r>
    <r>
      <rPr>
        <sz val="11"/>
        <color theme="1"/>
        <rFont val="Calibri"/>
        <family val="2"/>
        <scheme val="minor"/>
      </rPr>
      <t>.</t>
    </r>
  </si>
  <si>
    <t>configurarEscenario()</t>
  </si>
  <si>
    <t>Crea un escenario y solicita al modelo colocarlo en una posición.</t>
  </si>
  <si>
    <t>consultarEscenarios()</t>
  </si>
  <si>
    <r>
      <t xml:space="preserve">Recorre las cinco posiciones y muestra las que no contienen </t>
    </r>
    <r>
      <rPr>
        <sz val="10"/>
        <color theme="1"/>
        <rFont val="Arial Unicode MS"/>
      </rPr>
      <t>null</t>
    </r>
    <r>
      <rPr>
        <sz val="11"/>
        <color theme="1"/>
        <rFont val="Calibri"/>
        <family val="2"/>
        <scheme val="minor"/>
      </rPr>
      <t>.</t>
    </r>
  </si>
  <si>
    <t>consultarEscenario()</t>
  </si>
  <si>
    <t>Solicita una posición y muestra el escenario encontrado.</t>
  </si>
  <si>
    <t>modificarEscenario()</t>
  </si>
  <si>
    <t>Solicita posición, capacidad y estado nuevos.</t>
  </si>
  <si>
    <t>retirarEscenario()</t>
  </si>
  <si>
    <t>Solicita una posición y retira el escenario.</t>
  </si>
  <si>
    <t>registrarArtista()</t>
  </si>
  <si>
    <t>Solicita los datos, crea un artista y lo registra.</t>
  </si>
  <si>
    <t>consultarArtistas()</t>
  </si>
  <si>
    <t>Recorre los artistas registrados y los muestra.</t>
  </si>
  <si>
    <t>buscarArtista()</t>
  </si>
  <si>
    <t>Solicita un código y muestra al artista encontrado.</t>
  </si>
  <si>
    <t>modificarArtista()</t>
  </si>
  <si>
    <t>Solicita el código actual y los nuevos datos.</t>
  </si>
  <si>
    <t>cancelarParticipacion()</t>
  </si>
  <si>
    <t>Solicita el código y elimina al artista correspondiente.</t>
  </si>
  <si>
    <t>mostrarReporteFestival()</t>
  </si>
  <si>
    <t>Obtiene los cálculos del modelo y los envía a la vista.</t>
  </si>
  <si>
    <t>ControladorFestival</t>
  </si>
  <si>
    <t>Respuesta</t>
  </si>
  <si>
    <t xml:space="preserve">Se verifica si la posición es mayor a cero, para luego comparar con null, así saber si la posición está disponible </t>
  </si>
  <si>
    <t>Se compará el código ingresado por el ususario, así buscar el artista. Con la modificación se usarán los setters, habiendo encontrado el valor con la comparación. Para eliminar se usar también la comparación con el código y eliminar con .remove(indice)</t>
  </si>
  <si>
    <t>Se pueden producir excpeciones como InputMismatch, IllegalArgumentEception, o nullpointerException. Se usará try-catch en las opciones de menu en las que el ususario interactuará, puesto que son en las que el ingreso de datos puede contener errores.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</si>
</sst>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9">
    <fill>
      <patternFill patternType="none"/>
    </fill>
    <fill>
      <patternFill patternType="gray125"/>
    </fill>
    <fill>
      <patternFill patternType="solid">
        <fgColor theme="7" tint="0.59999389629810485"/>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C189F7"/>
        <bgColor indexed="64"/>
      </patternFill>
    </fill>
    <fill>
      <patternFill patternType="solid">
        <fgColor rgb="FF76E3FF"/>
        <bgColor indexed="64"/>
      </patternFill>
    </fill>
    <fill>
      <patternFill patternType="solid">
        <fgColor rgb="FF975CCB"/>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s>
  <cellStyleXfs count="1">
    <xf numFmtId="0" fontId="0" fillId="0" borderId="0"/>
  </cellStyleXfs>
  <cellXfs count="33">
    <xf numFmtId="0" fontId="0" fillId="0" borderId="0" xfId="0"/>
    <xf numFmtId="0" fontId="1" fillId="0" borderId="1" xfId="0" applyFont="1" applyBorder="1" applyAlignment="1">
      <alignment horizontal="center" wrapText="1"/>
    </xf>
    <xf numFmtId="0" fontId="0" fillId="0" borderId="1" xfId="0" applyBorder="1" applyAlignment="1">
      <alignment wrapText="1"/>
    </xf>
    <xf numFmtId="0" fontId="0" fillId="0" borderId="0" xfId="0" applyAlignment="1">
      <alignment wrapText="1"/>
    </xf>
    <xf numFmtId="0" fontId="0" fillId="0" borderId="2" xfId="0" applyBorder="1" applyAlignment="1">
      <alignment wrapText="1"/>
    </xf>
    <xf numFmtId="0" fontId="1" fillId="0" borderId="0" xfId="0" applyFont="1" applyAlignment="1">
      <alignment horizontal="center" wrapText="1"/>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2" fillId="3" borderId="1" xfId="0" applyFont="1" applyFill="1" applyBorder="1" applyAlignment="1">
      <alignment vertical="center" wrapText="1"/>
    </xf>
    <xf numFmtId="0" fontId="0" fillId="3" borderId="1" xfId="0" applyFill="1" applyBorder="1" applyAlignment="1">
      <alignment vertical="center" wrapText="1"/>
    </xf>
    <xf numFmtId="0" fontId="2" fillId="4" borderId="1" xfId="0" applyFont="1" applyFill="1" applyBorder="1" applyAlignment="1">
      <alignment vertical="center" wrapText="1"/>
    </xf>
    <xf numFmtId="0" fontId="0" fillId="4" borderId="1" xfId="0" applyFill="1" applyBorder="1" applyAlignment="1">
      <alignment vertical="center" wrapText="1"/>
    </xf>
    <xf numFmtId="0" fontId="2" fillId="5" borderId="1" xfId="0" applyFont="1" applyFill="1" applyBorder="1" applyAlignment="1">
      <alignment vertical="center" wrapText="1"/>
    </xf>
    <xf numFmtId="0" fontId="0" fillId="5" borderId="1" xfId="0" applyFill="1" applyBorder="1" applyAlignment="1">
      <alignment vertical="center" wrapText="1"/>
    </xf>
    <xf numFmtId="0" fontId="2" fillId="8" borderId="1" xfId="0" applyFont="1" applyFill="1" applyBorder="1" applyAlignment="1">
      <alignment vertical="center" wrapText="1"/>
    </xf>
    <xf numFmtId="0" fontId="0" fillId="8" borderId="1" xfId="0" applyFill="1" applyBorder="1" applyAlignment="1">
      <alignment vertical="center" wrapText="1"/>
    </xf>
    <xf numFmtId="0" fontId="2" fillId="7" borderId="1" xfId="0" applyFont="1" applyFill="1" applyBorder="1" applyAlignment="1">
      <alignment vertical="center" wrapText="1"/>
    </xf>
    <xf numFmtId="0" fontId="0" fillId="7" borderId="1" xfId="0" applyFill="1" applyBorder="1" applyAlignment="1">
      <alignment vertical="center" wrapText="1"/>
    </xf>
    <xf numFmtId="0" fontId="0" fillId="8" borderId="1" xfId="0" applyFill="1"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9" xfId="0" applyBorder="1" applyAlignment="1">
      <alignment wrapText="1"/>
    </xf>
    <xf numFmtId="0" fontId="1" fillId="0" borderId="11" xfId="0" applyFont="1" applyBorder="1" applyAlignment="1">
      <alignment horizontal="left" wrapText="1"/>
    </xf>
    <xf numFmtId="0" fontId="1" fillId="0" borderId="4" xfId="0" applyFont="1" applyBorder="1"/>
    <xf numFmtId="0" fontId="0" fillId="0" borderId="10" xfId="0" applyBorder="1" applyAlignment="1">
      <alignment wrapText="1"/>
    </xf>
    <xf numFmtId="0" fontId="0" fillId="0" borderId="7" xfId="0" applyBorder="1" applyAlignment="1">
      <alignment wrapText="1"/>
    </xf>
    <xf numFmtId="0" fontId="0" fillId="0" borderId="8" xfId="0" applyBorder="1" applyAlignment="1">
      <alignment wrapText="1"/>
    </xf>
    <xf numFmtId="0" fontId="1" fillId="0" borderId="3" xfId="0" applyFont="1" applyBorder="1" applyAlignment="1">
      <alignment wrapText="1"/>
    </xf>
    <xf numFmtId="0" fontId="1" fillId="0" borderId="3" xfId="0" applyFont="1" applyBorder="1"/>
  </cellXfs>
  <cellStyles count="1">
    <cellStyle name="Normal" xfId="0" builtinId="0"/>
  </cellStyles>
  <dxfs count="0"/>
  <tableStyles count="0" defaultTableStyle="TableStyleMedium2" defaultPivotStyle="PivotStyleMedium9"/>
  <colors>
    <mruColors>
      <color rgb="FFFFC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
  <sheetViews>
    <sheetView tabSelected="1" topLeftCell="B1" zoomScale="76" workbookViewId="0">
      <selection activeCell="I7" sqref="I7"/>
    </sheetView>
  </sheetViews>
  <sheetFormatPr baseColWidth="10" defaultColWidth="8.77734375" defaultRowHeight="14.4"/>
  <cols>
    <col min="1" max="1" width="3.109375" customWidth="1"/>
    <col min="2" max="2" width="18.6640625" customWidth="1"/>
    <col min="3" max="3" width="15.6640625" customWidth="1"/>
    <col min="4" max="4" width="10.77734375" customWidth="1"/>
    <col min="5" max="5" width="11.88671875" customWidth="1"/>
    <col min="6" max="6" width="19.21875" customWidth="1"/>
    <col min="7" max="7" width="18.77734375" customWidth="1"/>
    <col min="8" max="8" width="9" customWidth="1"/>
    <col min="9" max="9" width="46.5546875" customWidth="1"/>
    <col min="10" max="10" width="49.21875" customWidth="1"/>
    <col min="11" max="11" width="11.109375" customWidth="1"/>
    <col min="12" max="12" width="9.77734375" customWidth="1"/>
    <col min="13" max="13" width="16.77734375" customWidth="1"/>
    <col min="14" max="14" width="34.44140625" customWidth="1"/>
    <col min="15" max="15" width="21.109375" customWidth="1"/>
  </cols>
  <sheetData>
    <row r="1" spans="1:10" ht="22.5" customHeight="1" thickBot="1">
      <c r="B1" s="32" t="s">
        <v>20</v>
      </c>
      <c r="C1" s="32"/>
      <c r="D1" s="32"/>
    </row>
    <row r="2" spans="1:10" ht="15" thickBot="1">
      <c r="A2" s="1" t="s">
        <v>0</v>
      </c>
      <c r="B2" s="1" t="s">
        <v>1</v>
      </c>
      <c r="C2" s="1" t="s">
        <v>2</v>
      </c>
      <c r="D2" s="1" t="s">
        <v>3</v>
      </c>
      <c r="E2" s="1" t="s">
        <v>4</v>
      </c>
      <c r="F2" s="1" t="s">
        <v>5</v>
      </c>
      <c r="G2" s="5"/>
      <c r="I2" s="26" t="s">
        <v>21</v>
      </c>
      <c r="J2" s="27" t="s">
        <v>207</v>
      </c>
    </row>
    <row r="3" spans="1:10" ht="28.8">
      <c r="A3" s="2">
        <v>1</v>
      </c>
      <c r="B3" s="7" t="s">
        <v>6</v>
      </c>
      <c r="C3" s="7" t="s">
        <v>7</v>
      </c>
      <c r="D3" s="7" t="s">
        <v>29</v>
      </c>
      <c r="E3" s="7" t="s">
        <v>33</v>
      </c>
      <c r="F3" s="7" t="s">
        <v>34</v>
      </c>
      <c r="G3" s="3"/>
      <c r="I3" s="25" t="s">
        <v>22</v>
      </c>
      <c r="J3" s="28" t="s">
        <v>208</v>
      </c>
    </row>
    <row r="4" spans="1:10" ht="72">
      <c r="A4" s="2">
        <f>A3+1</f>
        <v>2</v>
      </c>
      <c r="B4" s="7" t="s">
        <v>26</v>
      </c>
      <c r="C4" s="7" t="s">
        <v>7</v>
      </c>
      <c r="D4" s="7" t="s">
        <v>29</v>
      </c>
      <c r="E4" s="7" t="s">
        <v>33</v>
      </c>
      <c r="F4" s="7" t="s">
        <v>35</v>
      </c>
      <c r="G4" s="3"/>
      <c r="I4" s="23" t="s">
        <v>23</v>
      </c>
      <c r="J4" s="29" t="s">
        <v>209</v>
      </c>
    </row>
    <row r="5" spans="1:10" ht="72.599999999999994" thickBot="1">
      <c r="A5" s="2">
        <f t="shared" ref="A5:A10" si="0">A4+1</f>
        <v>3</v>
      </c>
      <c r="B5" s="7" t="s">
        <v>27</v>
      </c>
      <c r="C5" s="7" t="s">
        <v>7</v>
      </c>
      <c r="D5" s="7" t="s">
        <v>29</v>
      </c>
      <c r="E5" s="7" t="s">
        <v>33</v>
      </c>
      <c r="F5" s="7" t="s">
        <v>36</v>
      </c>
      <c r="G5" s="3"/>
      <c r="I5" s="24" t="s">
        <v>24</v>
      </c>
      <c r="J5" s="30" t="s">
        <v>210</v>
      </c>
    </row>
    <row r="6" spans="1:10" ht="43.2">
      <c r="A6" s="2">
        <f t="shared" si="0"/>
        <v>4</v>
      </c>
      <c r="B6" s="7" t="s">
        <v>28</v>
      </c>
      <c r="C6" s="7" t="s">
        <v>30</v>
      </c>
      <c r="D6" s="7" t="s">
        <v>29</v>
      </c>
      <c r="E6" s="7" t="s">
        <v>33</v>
      </c>
      <c r="F6" s="7" t="s">
        <v>37</v>
      </c>
      <c r="G6" s="3"/>
      <c r="I6" s="3"/>
    </row>
    <row r="7" spans="1:10" ht="28.8">
      <c r="A7" s="2">
        <f t="shared" si="0"/>
        <v>5</v>
      </c>
      <c r="B7" s="7" t="s">
        <v>31</v>
      </c>
      <c r="C7" s="7" t="s">
        <v>32</v>
      </c>
      <c r="D7" s="7" t="s">
        <v>29</v>
      </c>
      <c r="E7" s="7" t="s">
        <v>33</v>
      </c>
      <c r="F7" s="7" t="s">
        <v>38</v>
      </c>
      <c r="G7" s="3"/>
      <c r="I7" s="3"/>
    </row>
    <row r="8" spans="1:10">
      <c r="A8" s="2">
        <f t="shared" si="0"/>
        <v>6</v>
      </c>
      <c r="B8" s="8" t="s">
        <v>39</v>
      </c>
      <c r="C8" s="8" t="s">
        <v>7</v>
      </c>
      <c r="D8" s="8" t="s">
        <v>29</v>
      </c>
      <c r="E8" s="8" t="s">
        <v>48</v>
      </c>
      <c r="F8" s="8" t="s">
        <v>52</v>
      </c>
      <c r="G8" s="3"/>
      <c r="I8" s="3"/>
    </row>
    <row r="9" spans="1:10">
      <c r="A9" s="2">
        <f t="shared" si="0"/>
        <v>7</v>
      </c>
      <c r="B9" s="8" t="s">
        <v>6</v>
      </c>
      <c r="C9" s="8" t="s">
        <v>7</v>
      </c>
      <c r="D9" s="8" t="s">
        <v>29</v>
      </c>
      <c r="E9" s="8" t="s">
        <v>48</v>
      </c>
      <c r="F9" s="8" t="s">
        <v>53</v>
      </c>
      <c r="G9" s="3"/>
      <c r="I9" s="3"/>
    </row>
    <row r="10" spans="1:10">
      <c r="A10" s="2">
        <f t="shared" si="0"/>
        <v>8</v>
      </c>
      <c r="B10" s="8" t="s">
        <v>40</v>
      </c>
      <c r="C10" s="8" t="s">
        <v>7</v>
      </c>
      <c r="D10" s="8" t="s">
        <v>29</v>
      </c>
      <c r="E10" s="8" t="s">
        <v>48</v>
      </c>
      <c r="F10" s="8" t="s">
        <v>54</v>
      </c>
      <c r="G10" s="3"/>
      <c r="I10" s="3"/>
    </row>
    <row r="11" spans="1:10" ht="28.8">
      <c r="A11" s="2">
        <f>A10+1</f>
        <v>9</v>
      </c>
      <c r="B11" s="8" t="s">
        <v>41</v>
      </c>
      <c r="C11" s="8" t="s">
        <v>8</v>
      </c>
      <c r="D11" s="8" t="s">
        <v>29</v>
      </c>
      <c r="E11" s="8" t="s">
        <v>48</v>
      </c>
      <c r="F11" s="8" t="s">
        <v>55</v>
      </c>
      <c r="G11" s="3"/>
      <c r="I11" s="3"/>
    </row>
    <row r="12" spans="1:10">
      <c r="A12" s="2">
        <f>A11+1</f>
        <v>10</v>
      </c>
      <c r="B12" s="8" t="s">
        <v>42</v>
      </c>
      <c r="C12" s="8" t="s">
        <v>7</v>
      </c>
      <c r="D12" s="8" t="s">
        <v>29</v>
      </c>
      <c r="E12" s="8" t="s">
        <v>48</v>
      </c>
      <c r="F12" s="8" t="s">
        <v>56</v>
      </c>
      <c r="G12" s="3"/>
      <c r="I12" s="3"/>
    </row>
    <row r="13" spans="1:10">
      <c r="A13" s="2">
        <f t="shared" ref="A13:A22" si="1">A12+1</f>
        <v>11</v>
      </c>
      <c r="B13" s="9" t="s">
        <v>26</v>
      </c>
      <c r="C13" s="9" t="s">
        <v>7</v>
      </c>
      <c r="D13" s="9" t="s">
        <v>29</v>
      </c>
      <c r="E13" s="9" t="s">
        <v>49</v>
      </c>
      <c r="F13" s="9" t="s">
        <v>57</v>
      </c>
      <c r="G13" s="3"/>
      <c r="I13" s="3"/>
    </row>
    <row r="14" spans="1:10" ht="28.8">
      <c r="A14" s="2">
        <f t="shared" si="1"/>
        <v>12</v>
      </c>
      <c r="B14" s="9" t="s">
        <v>43</v>
      </c>
      <c r="C14" s="9" t="s">
        <v>7</v>
      </c>
      <c r="D14" s="9" t="s">
        <v>29</v>
      </c>
      <c r="E14" s="9" t="s">
        <v>49</v>
      </c>
      <c r="F14" s="9" t="s">
        <v>58</v>
      </c>
      <c r="G14" s="3"/>
      <c r="I14" s="3"/>
    </row>
    <row r="15" spans="1:10" ht="28.8">
      <c r="A15" s="2">
        <f t="shared" si="1"/>
        <v>13</v>
      </c>
      <c r="B15" s="9" t="s">
        <v>44</v>
      </c>
      <c r="C15" s="9" t="s">
        <v>7</v>
      </c>
      <c r="D15" s="9" t="s">
        <v>29</v>
      </c>
      <c r="E15" s="9" t="s">
        <v>49</v>
      </c>
      <c r="F15" s="9" t="s">
        <v>59</v>
      </c>
      <c r="G15" s="3"/>
      <c r="I15" s="3"/>
    </row>
    <row r="16" spans="1:10" ht="43.2">
      <c r="A16" s="2">
        <f t="shared" si="1"/>
        <v>14</v>
      </c>
      <c r="B16" s="9" t="s">
        <v>45</v>
      </c>
      <c r="C16" s="9" t="s">
        <v>8</v>
      </c>
      <c r="D16" s="9" t="s">
        <v>29</v>
      </c>
      <c r="E16" s="9" t="s">
        <v>49</v>
      </c>
      <c r="F16" s="9" t="s">
        <v>60</v>
      </c>
      <c r="G16" s="3"/>
      <c r="I16" s="3"/>
    </row>
    <row r="17" spans="1:11" ht="28.8">
      <c r="A17" s="2">
        <f t="shared" si="1"/>
        <v>15</v>
      </c>
      <c r="B17" s="9" t="s">
        <v>46</v>
      </c>
      <c r="C17" s="9" t="s">
        <v>8</v>
      </c>
      <c r="D17" s="9" t="s">
        <v>29</v>
      </c>
      <c r="E17" s="9" t="s">
        <v>49</v>
      </c>
      <c r="F17" s="9" t="s">
        <v>61</v>
      </c>
      <c r="G17" s="3"/>
      <c r="I17" s="3"/>
    </row>
    <row r="18" spans="1:11">
      <c r="A18" s="2">
        <f t="shared" si="1"/>
        <v>16</v>
      </c>
      <c r="B18" s="10" t="s">
        <v>18</v>
      </c>
      <c r="C18" s="10" t="s">
        <v>10</v>
      </c>
      <c r="D18" s="10" t="s">
        <v>29</v>
      </c>
      <c r="E18" s="10" t="s">
        <v>50</v>
      </c>
      <c r="F18" s="10" t="s">
        <v>62</v>
      </c>
      <c r="G18" s="3"/>
      <c r="I18" s="3"/>
    </row>
    <row r="19" spans="1:11" ht="28.8">
      <c r="A19" s="2">
        <f t="shared" si="1"/>
        <v>17</v>
      </c>
      <c r="B19" s="11" t="s">
        <v>47</v>
      </c>
      <c r="C19" s="11" t="s">
        <v>33</v>
      </c>
      <c r="D19" s="11" t="s">
        <v>29</v>
      </c>
      <c r="E19" s="11" t="s">
        <v>51</v>
      </c>
      <c r="F19" s="11" t="s">
        <v>63</v>
      </c>
      <c r="G19" s="3"/>
      <c r="I19" s="3"/>
    </row>
    <row r="20" spans="1:11" ht="43.2">
      <c r="A20" s="2">
        <f t="shared" si="1"/>
        <v>18</v>
      </c>
      <c r="B20" s="11" t="s">
        <v>11</v>
      </c>
      <c r="C20" s="11" t="s">
        <v>50</v>
      </c>
      <c r="D20" s="11" t="s">
        <v>29</v>
      </c>
      <c r="E20" s="11" t="s">
        <v>51</v>
      </c>
      <c r="F20" s="11" t="s">
        <v>64</v>
      </c>
      <c r="G20" s="3"/>
      <c r="I20" s="3"/>
    </row>
    <row r="21" spans="1:11">
      <c r="A21" s="2">
        <f t="shared" si="1"/>
        <v>19</v>
      </c>
      <c r="B21" s="2"/>
      <c r="C21" s="2"/>
      <c r="D21" s="2"/>
      <c r="E21" s="2"/>
      <c r="F21" s="2"/>
      <c r="G21" s="3"/>
      <c r="I21" s="3"/>
    </row>
    <row r="22" spans="1:11">
      <c r="A22" s="2">
        <f t="shared" si="1"/>
        <v>20</v>
      </c>
      <c r="B22" s="2"/>
      <c r="C22" s="2"/>
      <c r="D22" s="2"/>
      <c r="E22" s="2"/>
      <c r="F22" s="2"/>
      <c r="G22" s="3"/>
      <c r="I22" s="3"/>
    </row>
    <row r="23" spans="1:11">
      <c r="A23" s="4"/>
      <c r="B23" s="3"/>
      <c r="C23" s="3"/>
      <c r="D23" s="3"/>
      <c r="E23" s="3"/>
      <c r="F23" s="3"/>
      <c r="G23" s="3"/>
      <c r="I23" s="3"/>
    </row>
    <row r="24" spans="1:11">
      <c r="A24" s="4"/>
      <c r="B24" s="3"/>
      <c r="C24" s="3"/>
      <c r="D24" s="3"/>
      <c r="E24" s="3"/>
      <c r="F24" s="3"/>
      <c r="G24" s="3"/>
      <c r="I24" s="3"/>
    </row>
    <row r="25" spans="1:11" ht="28.95" customHeight="1">
      <c r="A25" s="3"/>
      <c r="B25" s="31" t="s">
        <v>19</v>
      </c>
      <c r="C25" s="31"/>
      <c r="D25" s="31"/>
      <c r="E25" s="31"/>
      <c r="F25" s="3"/>
      <c r="G25" s="3"/>
      <c r="I25" s="3"/>
    </row>
    <row r="26" spans="1:11">
      <c r="A26" s="1" t="s">
        <v>0</v>
      </c>
      <c r="B26" s="1" t="s">
        <v>1</v>
      </c>
      <c r="C26" s="1" t="s">
        <v>2</v>
      </c>
      <c r="D26" s="1" t="s">
        <v>3</v>
      </c>
      <c r="E26" s="1" t="s">
        <v>4</v>
      </c>
      <c r="F26" s="1" t="s">
        <v>5</v>
      </c>
      <c r="H26" s="3"/>
    </row>
    <row r="27" spans="1:11" ht="43.2">
      <c r="A27" s="2">
        <v>1</v>
      </c>
      <c r="B27" s="6" t="s">
        <v>17</v>
      </c>
      <c r="C27" s="6" t="s">
        <v>15</v>
      </c>
      <c r="D27" s="6" t="s">
        <v>16</v>
      </c>
      <c r="E27" s="6" t="s">
        <v>17</v>
      </c>
      <c r="F27" s="6" t="s">
        <v>25</v>
      </c>
      <c r="H27" s="3"/>
      <c r="K27" s="3"/>
    </row>
    <row r="28" spans="1:11" ht="57.6">
      <c r="A28" s="2">
        <f>A27+1</f>
        <v>2</v>
      </c>
      <c r="B28" s="12" t="s">
        <v>66</v>
      </c>
      <c r="C28" s="13" t="s">
        <v>14</v>
      </c>
      <c r="D28" s="7" t="s">
        <v>13</v>
      </c>
      <c r="E28" s="7" t="s">
        <v>65</v>
      </c>
      <c r="F28" s="13" t="s">
        <v>67</v>
      </c>
    </row>
    <row r="29" spans="1:11" ht="28.8">
      <c r="A29" s="2">
        <f t="shared" ref="A29:A92" si="2">A28+1</f>
        <v>3</v>
      </c>
      <c r="B29" s="12" t="s">
        <v>68</v>
      </c>
      <c r="C29" s="12" t="s">
        <v>7</v>
      </c>
      <c r="D29" s="7" t="s">
        <v>13</v>
      </c>
      <c r="E29" s="7" t="s">
        <v>33</v>
      </c>
      <c r="F29" s="13" t="s">
        <v>69</v>
      </c>
    </row>
    <row r="30" spans="1:11" ht="28.8">
      <c r="A30" s="2">
        <f t="shared" si="2"/>
        <v>4</v>
      </c>
      <c r="B30" s="12" t="s">
        <v>70</v>
      </c>
      <c r="C30" s="12" t="s">
        <v>7</v>
      </c>
      <c r="D30" s="7" t="s">
        <v>13</v>
      </c>
      <c r="E30" s="7" t="s">
        <v>33</v>
      </c>
      <c r="F30" s="13" t="s">
        <v>71</v>
      </c>
    </row>
    <row r="31" spans="1:11" ht="28.8">
      <c r="A31" s="2">
        <f t="shared" si="2"/>
        <v>5</v>
      </c>
      <c r="B31" s="12" t="s">
        <v>72</v>
      </c>
      <c r="C31" s="12" t="s">
        <v>7</v>
      </c>
      <c r="D31" s="7" t="s">
        <v>13</v>
      </c>
      <c r="E31" s="7" t="s">
        <v>33</v>
      </c>
      <c r="F31" s="13" t="s">
        <v>73</v>
      </c>
    </row>
    <row r="32" spans="1:11" ht="43.2">
      <c r="A32" s="2">
        <f t="shared" si="2"/>
        <v>6</v>
      </c>
      <c r="B32" s="12" t="s">
        <v>74</v>
      </c>
      <c r="C32" s="12" t="s">
        <v>15</v>
      </c>
      <c r="D32" s="7" t="s">
        <v>13</v>
      </c>
      <c r="E32" s="7" t="s">
        <v>33</v>
      </c>
      <c r="F32" s="13" t="s">
        <v>75</v>
      </c>
    </row>
    <row r="33" spans="1:6" ht="43.2">
      <c r="A33" s="2">
        <f t="shared" si="2"/>
        <v>7</v>
      </c>
      <c r="B33" s="12" t="s">
        <v>76</v>
      </c>
      <c r="C33" s="12" t="s">
        <v>48</v>
      </c>
      <c r="D33" s="7" t="s">
        <v>13</v>
      </c>
      <c r="E33" s="7" t="s">
        <v>33</v>
      </c>
      <c r="F33" s="13" t="s">
        <v>77</v>
      </c>
    </row>
    <row r="34" spans="1:6" ht="52.8">
      <c r="A34" s="2">
        <f t="shared" si="2"/>
        <v>8</v>
      </c>
      <c r="B34" s="12" t="s">
        <v>78</v>
      </c>
      <c r="C34" s="12" t="s">
        <v>15</v>
      </c>
      <c r="D34" s="7" t="s">
        <v>13</v>
      </c>
      <c r="E34" s="7" t="s">
        <v>33</v>
      </c>
      <c r="F34" s="13" t="s">
        <v>79</v>
      </c>
    </row>
    <row r="35" spans="1:6" ht="43.2">
      <c r="A35" s="2">
        <f t="shared" si="2"/>
        <v>9</v>
      </c>
      <c r="B35" s="12" t="s">
        <v>80</v>
      </c>
      <c r="C35" s="12" t="s">
        <v>15</v>
      </c>
      <c r="D35" s="7" t="s">
        <v>13</v>
      </c>
      <c r="E35" s="7" t="s">
        <v>33</v>
      </c>
      <c r="F35" s="13" t="s">
        <v>81</v>
      </c>
    </row>
    <row r="36" spans="1:6" ht="43.2">
      <c r="A36" s="2">
        <f t="shared" si="2"/>
        <v>10</v>
      </c>
      <c r="B36" s="12" t="s">
        <v>82</v>
      </c>
      <c r="C36" s="12" t="s">
        <v>8</v>
      </c>
      <c r="D36" s="7" t="s">
        <v>13</v>
      </c>
      <c r="E36" s="7" t="s">
        <v>33</v>
      </c>
      <c r="F36" s="13" t="s">
        <v>83</v>
      </c>
    </row>
    <row r="37" spans="1:6" ht="28.8">
      <c r="A37" s="2">
        <f t="shared" si="2"/>
        <v>11</v>
      </c>
      <c r="B37" s="12" t="s">
        <v>84</v>
      </c>
      <c r="C37" s="12" t="s">
        <v>8</v>
      </c>
      <c r="D37" s="7" t="s">
        <v>13</v>
      </c>
      <c r="E37" s="7" t="s">
        <v>33</v>
      </c>
      <c r="F37" s="13" t="s">
        <v>85</v>
      </c>
    </row>
    <row r="38" spans="1:6" ht="28.8">
      <c r="A38" s="2">
        <f t="shared" si="2"/>
        <v>12</v>
      </c>
      <c r="B38" s="12" t="s">
        <v>86</v>
      </c>
      <c r="C38" s="12" t="s">
        <v>8</v>
      </c>
      <c r="D38" s="7" t="s">
        <v>13</v>
      </c>
      <c r="E38" s="7" t="s">
        <v>33</v>
      </c>
      <c r="F38" s="13" t="s">
        <v>87</v>
      </c>
    </row>
    <row r="39" spans="1:6" ht="57.6">
      <c r="A39" s="2">
        <f t="shared" si="2"/>
        <v>13</v>
      </c>
      <c r="B39" s="12" t="s">
        <v>88</v>
      </c>
      <c r="C39" s="12" t="s">
        <v>48</v>
      </c>
      <c r="D39" s="7" t="s">
        <v>13</v>
      </c>
      <c r="E39" s="7" t="s">
        <v>33</v>
      </c>
      <c r="F39" s="13" t="s">
        <v>89</v>
      </c>
    </row>
    <row r="40" spans="1:6" ht="43.2">
      <c r="A40" s="2">
        <f t="shared" si="2"/>
        <v>14</v>
      </c>
      <c r="B40" s="12" t="s">
        <v>90</v>
      </c>
      <c r="C40" s="12" t="s">
        <v>15</v>
      </c>
      <c r="D40" s="7" t="s">
        <v>13</v>
      </c>
      <c r="E40" s="7" t="s">
        <v>33</v>
      </c>
      <c r="F40" s="13" t="s">
        <v>91</v>
      </c>
    </row>
    <row r="41" spans="1:6" ht="43.2">
      <c r="A41" s="2">
        <f t="shared" si="2"/>
        <v>15</v>
      </c>
      <c r="B41" s="12" t="s">
        <v>92</v>
      </c>
      <c r="C41" s="12" t="s">
        <v>49</v>
      </c>
      <c r="D41" s="7" t="s">
        <v>13</v>
      </c>
      <c r="E41" s="7" t="s">
        <v>33</v>
      </c>
      <c r="F41" s="13" t="s">
        <v>93</v>
      </c>
    </row>
    <row r="42" spans="1:6" ht="92.4">
      <c r="A42" s="2">
        <f t="shared" si="2"/>
        <v>16</v>
      </c>
      <c r="B42" s="12" t="s">
        <v>94</v>
      </c>
      <c r="C42" s="12" t="s">
        <v>15</v>
      </c>
      <c r="D42" s="7" t="s">
        <v>13</v>
      </c>
      <c r="E42" s="7" t="s">
        <v>33</v>
      </c>
      <c r="F42" s="13" t="s">
        <v>95</v>
      </c>
    </row>
    <row r="43" spans="1:6" ht="28.8">
      <c r="A43" s="2">
        <f t="shared" si="2"/>
        <v>17</v>
      </c>
      <c r="B43" s="12" t="s">
        <v>96</v>
      </c>
      <c r="C43" s="12" t="s">
        <v>15</v>
      </c>
      <c r="D43" s="7" t="s">
        <v>13</v>
      </c>
      <c r="E43" s="7" t="s">
        <v>33</v>
      </c>
      <c r="F43" s="13" t="s">
        <v>97</v>
      </c>
    </row>
    <row r="44" spans="1:6" ht="43.2">
      <c r="A44" s="2">
        <f t="shared" si="2"/>
        <v>18</v>
      </c>
      <c r="B44" s="12" t="s">
        <v>98</v>
      </c>
      <c r="C44" s="12" t="s">
        <v>8</v>
      </c>
      <c r="D44" s="7" t="s">
        <v>13</v>
      </c>
      <c r="E44" s="7" t="s">
        <v>33</v>
      </c>
      <c r="F44" s="13" t="s">
        <v>99</v>
      </c>
    </row>
    <row r="45" spans="1:6" ht="43.2">
      <c r="A45" s="2">
        <f t="shared" si="2"/>
        <v>19</v>
      </c>
      <c r="B45" s="12" t="s">
        <v>100</v>
      </c>
      <c r="C45" s="12" t="s">
        <v>49</v>
      </c>
      <c r="D45" s="7" t="s">
        <v>13</v>
      </c>
      <c r="E45" s="7" t="s">
        <v>33</v>
      </c>
      <c r="F45" s="13" t="s">
        <v>101</v>
      </c>
    </row>
    <row r="46" spans="1:6" ht="57.6">
      <c r="A46" s="2">
        <f t="shared" si="2"/>
        <v>20</v>
      </c>
      <c r="B46" s="12" t="s">
        <v>102</v>
      </c>
      <c r="C46" s="12" t="s">
        <v>49</v>
      </c>
      <c r="D46" s="7" t="s">
        <v>13</v>
      </c>
      <c r="E46" s="7" t="s">
        <v>33</v>
      </c>
      <c r="F46" s="13" t="s">
        <v>103</v>
      </c>
    </row>
    <row r="47" spans="1:6" ht="43.2">
      <c r="A47" s="2">
        <f t="shared" si="2"/>
        <v>21</v>
      </c>
      <c r="B47" s="12" t="s">
        <v>104</v>
      </c>
      <c r="C47" s="12" t="s">
        <v>49</v>
      </c>
      <c r="D47" s="7" t="s">
        <v>13</v>
      </c>
      <c r="E47" s="7" t="s">
        <v>33</v>
      </c>
      <c r="F47" s="13" t="s">
        <v>105</v>
      </c>
    </row>
    <row r="48" spans="1:6" ht="43.2">
      <c r="A48" s="2">
        <f t="shared" si="2"/>
        <v>22</v>
      </c>
      <c r="B48" s="12" t="s">
        <v>106</v>
      </c>
      <c r="C48" s="12" t="s">
        <v>12</v>
      </c>
      <c r="D48" s="7" t="s">
        <v>13</v>
      </c>
      <c r="E48" s="7" t="s">
        <v>33</v>
      </c>
      <c r="F48" s="13" t="s">
        <v>107</v>
      </c>
    </row>
    <row r="49" spans="1:6" ht="43.2">
      <c r="A49" s="2">
        <f t="shared" si="2"/>
        <v>23</v>
      </c>
      <c r="B49" s="12" t="s">
        <v>108</v>
      </c>
      <c r="C49" s="12" t="s">
        <v>15</v>
      </c>
      <c r="D49" s="7" t="s">
        <v>9</v>
      </c>
      <c r="E49" s="7" t="s">
        <v>33</v>
      </c>
      <c r="F49" s="13" t="s">
        <v>109</v>
      </c>
    </row>
    <row r="50" spans="1:6" ht="43.2">
      <c r="A50" s="2">
        <f t="shared" si="2"/>
        <v>24</v>
      </c>
      <c r="B50" s="12" t="s">
        <v>110</v>
      </c>
      <c r="C50" s="12" t="s">
        <v>8</v>
      </c>
      <c r="D50" s="7" t="s">
        <v>9</v>
      </c>
      <c r="E50" s="7" t="s">
        <v>33</v>
      </c>
      <c r="F50" s="13" t="s">
        <v>111</v>
      </c>
    </row>
    <row r="51" spans="1:6" ht="43.2">
      <c r="A51" s="2">
        <f t="shared" si="2"/>
        <v>25</v>
      </c>
      <c r="B51" s="12" t="s">
        <v>112</v>
      </c>
      <c r="C51" s="12" t="s">
        <v>113</v>
      </c>
      <c r="D51" s="7" t="s">
        <v>9</v>
      </c>
      <c r="E51" s="7" t="s">
        <v>33</v>
      </c>
      <c r="F51" s="13" t="s">
        <v>114</v>
      </c>
    </row>
    <row r="52" spans="1:6" ht="79.2">
      <c r="A52" s="2">
        <f t="shared" si="2"/>
        <v>26</v>
      </c>
      <c r="B52" s="14" t="s">
        <v>115</v>
      </c>
      <c r="C52" s="15" t="s">
        <v>14</v>
      </c>
      <c r="D52" s="8" t="s">
        <v>13</v>
      </c>
      <c r="E52" s="8" t="s">
        <v>48</v>
      </c>
      <c r="F52" s="15" t="s">
        <v>116</v>
      </c>
    </row>
    <row r="53" spans="1:6" ht="28.8">
      <c r="A53" s="2">
        <f t="shared" si="2"/>
        <v>27</v>
      </c>
      <c r="B53" s="14" t="s">
        <v>70</v>
      </c>
      <c r="C53" s="14" t="s">
        <v>7</v>
      </c>
      <c r="D53" s="8" t="s">
        <v>13</v>
      </c>
      <c r="E53" s="8" t="s">
        <v>48</v>
      </c>
      <c r="F53" s="15" t="s">
        <v>117</v>
      </c>
    </row>
    <row r="54" spans="1:6" ht="28.8">
      <c r="A54" s="2">
        <f t="shared" si="2"/>
        <v>28</v>
      </c>
      <c r="B54" s="14" t="s">
        <v>68</v>
      </c>
      <c r="C54" s="14" t="s">
        <v>7</v>
      </c>
      <c r="D54" s="8" t="s">
        <v>13</v>
      </c>
      <c r="E54" s="8" t="s">
        <v>48</v>
      </c>
      <c r="F54" s="15" t="s">
        <v>118</v>
      </c>
    </row>
    <row r="55" spans="1:6" ht="28.8">
      <c r="A55" s="2">
        <f t="shared" si="2"/>
        <v>29</v>
      </c>
      <c r="B55" s="14" t="s">
        <v>119</v>
      </c>
      <c r="C55" s="14" t="s">
        <v>7</v>
      </c>
      <c r="D55" s="8" t="s">
        <v>13</v>
      </c>
      <c r="E55" s="8" t="s">
        <v>48</v>
      </c>
      <c r="F55" s="15" t="s">
        <v>120</v>
      </c>
    </row>
    <row r="56" spans="1:6" ht="28.8">
      <c r="A56" s="2">
        <f t="shared" si="2"/>
        <v>30</v>
      </c>
      <c r="B56" s="14" t="s">
        <v>121</v>
      </c>
      <c r="C56" s="14" t="s">
        <v>8</v>
      </c>
      <c r="D56" s="8" t="s">
        <v>13</v>
      </c>
      <c r="E56" s="8" t="s">
        <v>48</v>
      </c>
      <c r="F56" s="15" t="s">
        <v>122</v>
      </c>
    </row>
    <row r="57" spans="1:6" ht="28.8">
      <c r="A57" s="2">
        <f t="shared" si="2"/>
        <v>31</v>
      </c>
      <c r="B57" s="14" t="s">
        <v>123</v>
      </c>
      <c r="C57" s="14" t="s">
        <v>7</v>
      </c>
      <c r="D57" s="8" t="s">
        <v>13</v>
      </c>
      <c r="E57" s="8" t="s">
        <v>48</v>
      </c>
      <c r="F57" s="15" t="s">
        <v>124</v>
      </c>
    </row>
    <row r="58" spans="1:6" ht="70.8">
      <c r="A58" s="2">
        <f t="shared" si="2"/>
        <v>32</v>
      </c>
      <c r="B58" s="14" t="s">
        <v>125</v>
      </c>
      <c r="C58" s="14" t="s">
        <v>15</v>
      </c>
      <c r="D58" s="8" t="s">
        <v>13</v>
      </c>
      <c r="E58" s="8" t="s">
        <v>48</v>
      </c>
      <c r="F58" s="15" t="s">
        <v>126</v>
      </c>
    </row>
    <row r="59" spans="1:6" ht="43.2">
      <c r="A59" s="2">
        <f t="shared" si="2"/>
        <v>33</v>
      </c>
      <c r="B59" s="14" t="s">
        <v>127</v>
      </c>
      <c r="C59" s="14" t="s">
        <v>15</v>
      </c>
      <c r="D59" s="8" t="s">
        <v>13</v>
      </c>
      <c r="E59" s="8" t="s">
        <v>48</v>
      </c>
      <c r="F59" s="15" t="s">
        <v>128</v>
      </c>
    </row>
    <row r="60" spans="1:6" ht="118.8">
      <c r="A60" s="2">
        <f t="shared" si="2"/>
        <v>34</v>
      </c>
      <c r="B60" s="16" t="s">
        <v>129</v>
      </c>
      <c r="C60" s="17" t="s">
        <v>14</v>
      </c>
      <c r="D60" s="9" t="s">
        <v>13</v>
      </c>
      <c r="E60" s="9" t="s">
        <v>49</v>
      </c>
      <c r="F60" s="17" t="s">
        <v>130</v>
      </c>
    </row>
    <row r="61" spans="1:6" ht="28.8">
      <c r="A61" s="2">
        <f t="shared" si="2"/>
        <v>35</v>
      </c>
      <c r="B61" s="16" t="s">
        <v>70</v>
      </c>
      <c r="C61" s="16" t="s">
        <v>7</v>
      </c>
      <c r="D61" s="9" t="s">
        <v>13</v>
      </c>
      <c r="E61" s="9" t="s">
        <v>49</v>
      </c>
      <c r="F61" s="17" t="s">
        <v>131</v>
      </c>
    </row>
    <row r="62" spans="1:6" ht="28.8">
      <c r="A62" s="2">
        <f t="shared" si="2"/>
        <v>36</v>
      </c>
      <c r="B62" s="16" t="s">
        <v>132</v>
      </c>
      <c r="C62" s="16" t="s">
        <v>7</v>
      </c>
      <c r="D62" s="9" t="s">
        <v>13</v>
      </c>
      <c r="E62" s="9" t="s">
        <v>49</v>
      </c>
      <c r="F62" s="17" t="s">
        <v>133</v>
      </c>
    </row>
    <row r="63" spans="1:6" ht="28.8">
      <c r="A63" s="2">
        <f t="shared" si="2"/>
        <v>37</v>
      </c>
      <c r="B63" s="16" t="s">
        <v>134</v>
      </c>
      <c r="C63" s="16" t="s">
        <v>7</v>
      </c>
      <c r="D63" s="9" t="s">
        <v>13</v>
      </c>
      <c r="E63" s="9" t="s">
        <v>49</v>
      </c>
      <c r="F63" s="17" t="s">
        <v>135</v>
      </c>
    </row>
    <row r="64" spans="1:6" ht="28.8">
      <c r="A64" s="2">
        <f t="shared" si="2"/>
        <v>38</v>
      </c>
      <c r="B64" s="16" t="s">
        <v>136</v>
      </c>
      <c r="C64" s="16" t="s">
        <v>8</v>
      </c>
      <c r="D64" s="9" t="s">
        <v>13</v>
      </c>
      <c r="E64" s="9" t="s">
        <v>49</v>
      </c>
      <c r="F64" s="17" t="s">
        <v>137</v>
      </c>
    </row>
    <row r="65" spans="1:7" ht="28.8">
      <c r="A65" s="2">
        <f t="shared" si="2"/>
        <v>39</v>
      </c>
      <c r="B65" s="16" t="s">
        <v>138</v>
      </c>
      <c r="C65" s="16" t="s">
        <v>8</v>
      </c>
      <c r="D65" s="9" t="s">
        <v>13</v>
      </c>
      <c r="E65" s="9" t="s">
        <v>49</v>
      </c>
      <c r="F65" s="17" t="s">
        <v>139</v>
      </c>
      <c r="G65" s="3"/>
    </row>
    <row r="66" spans="1:7" ht="43.2">
      <c r="A66" s="2">
        <f t="shared" si="2"/>
        <v>40</v>
      </c>
      <c r="B66" s="16" t="s">
        <v>140</v>
      </c>
      <c r="C66" s="16" t="s">
        <v>15</v>
      </c>
      <c r="D66" s="9" t="s">
        <v>13</v>
      </c>
      <c r="E66" s="9" t="s">
        <v>49</v>
      </c>
      <c r="F66" s="17" t="s">
        <v>141</v>
      </c>
    </row>
    <row r="67" spans="1:7" ht="28.8">
      <c r="A67" s="2">
        <f t="shared" si="2"/>
        <v>41</v>
      </c>
      <c r="B67" s="16" t="s">
        <v>142</v>
      </c>
      <c r="C67" s="16" t="s">
        <v>15</v>
      </c>
      <c r="D67" s="9" t="s">
        <v>13</v>
      </c>
      <c r="E67" s="9" t="s">
        <v>49</v>
      </c>
      <c r="F67" s="17" t="s">
        <v>143</v>
      </c>
    </row>
    <row r="68" spans="1:7" ht="28.8">
      <c r="A68" s="2">
        <f t="shared" si="2"/>
        <v>42</v>
      </c>
      <c r="B68" s="16" t="s">
        <v>144</v>
      </c>
      <c r="C68" s="16" t="s">
        <v>15</v>
      </c>
      <c r="D68" s="9" t="s">
        <v>13</v>
      </c>
      <c r="E68" s="9" t="s">
        <v>49</v>
      </c>
      <c r="F68" s="17" t="s">
        <v>145</v>
      </c>
    </row>
    <row r="69" spans="1:7" ht="43.2">
      <c r="A69" s="2">
        <f t="shared" si="2"/>
        <v>43</v>
      </c>
      <c r="B69" s="16" t="s">
        <v>146</v>
      </c>
      <c r="C69" s="16" t="s">
        <v>15</v>
      </c>
      <c r="D69" s="9" t="s">
        <v>13</v>
      </c>
      <c r="E69" s="9" t="s">
        <v>49</v>
      </c>
      <c r="F69" s="17" t="s">
        <v>147</v>
      </c>
    </row>
    <row r="70" spans="1:7" ht="46.8" customHeight="1">
      <c r="A70" s="2">
        <f t="shared" si="2"/>
        <v>44</v>
      </c>
      <c r="B70" s="16" t="s">
        <v>148</v>
      </c>
      <c r="C70" s="16" t="s">
        <v>15</v>
      </c>
      <c r="D70" s="9" t="s">
        <v>13</v>
      </c>
      <c r="E70" s="9" t="s">
        <v>49</v>
      </c>
      <c r="F70" s="17" t="s">
        <v>149</v>
      </c>
    </row>
    <row r="71" spans="1:7" ht="34.799999999999997" customHeight="1">
      <c r="A71" s="2">
        <f t="shared" si="2"/>
        <v>45</v>
      </c>
      <c r="B71" s="18" t="s">
        <v>150</v>
      </c>
      <c r="C71" s="19" t="s">
        <v>14</v>
      </c>
      <c r="D71" s="22" t="s">
        <v>13</v>
      </c>
      <c r="E71" s="22" t="s">
        <v>50</v>
      </c>
      <c r="F71" s="19" t="s">
        <v>151</v>
      </c>
    </row>
    <row r="72" spans="1:7" ht="34.799999999999997" customHeight="1">
      <c r="A72" s="2">
        <f t="shared" si="2"/>
        <v>46</v>
      </c>
      <c r="B72" s="18" t="s">
        <v>152</v>
      </c>
      <c r="C72" s="18" t="s">
        <v>7</v>
      </c>
      <c r="D72" s="22" t="s">
        <v>13</v>
      </c>
      <c r="E72" s="22" t="s">
        <v>50</v>
      </c>
      <c r="F72" s="19" t="s">
        <v>153</v>
      </c>
    </row>
    <row r="73" spans="1:7" ht="34.799999999999997" customHeight="1">
      <c r="A73" s="2">
        <f t="shared" si="2"/>
        <v>47</v>
      </c>
      <c r="B73" s="18" t="s">
        <v>154</v>
      </c>
      <c r="C73" s="18" t="s">
        <v>8</v>
      </c>
      <c r="D73" s="22" t="s">
        <v>13</v>
      </c>
      <c r="E73" s="22" t="s">
        <v>50</v>
      </c>
      <c r="F73" s="19" t="s">
        <v>155</v>
      </c>
    </row>
    <row r="74" spans="1:7" ht="34.799999999999997" customHeight="1">
      <c r="A74" s="2">
        <f t="shared" si="2"/>
        <v>48</v>
      </c>
      <c r="B74" s="18" t="s">
        <v>156</v>
      </c>
      <c r="C74" s="18" t="s">
        <v>15</v>
      </c>
      <c r="D74" s="22" t="s">
        <v>13</v>
      </c>
      <c r="E74" s="22" t="s">
        <v>50</v>
      </c>
      <c r="F74" s="19" t="s">
        <v>157</v>
      </c>
    </row>
    <row r="75" spans="1:7" ht="34.799999999999997" customHeight="1">
      <c r="A75" s="2">
        <f t="shared" si="2"/>
        <v>49</v>
      </c>
      <c r="B75" s="18" t="s">
        <v>158</v>
      </c>
      <c r="C75" s="18" t="s">
        <v>15</v>
      </c>
      <c r="D75" s="22" t="s">
        <v>13</v>
      </c>
      <c r="E75" s="22" t="s">
        <v>50</v>
      </c>
      <c r="F75" s="19" t="s">
        <v>159</v>
      </c>
    </row>
    <row r="76" spans="1:7" ht="34.799999999999997" customHeight="1">
      <c r="A76" s="2">
        <f t="shared" si="2"/>
        <v>50</v>
      </c>
      <c r="B76" s="18" t="s">
        <v>160</v>
      </c>
      <c r="C76" s="18" t="s">
        <v>8</v>
      </c>
      <c r="D76" s="22" t="s">
        <v>13</v>
      </c>
      <c r="E76" s="22" t="s">
        <v>50</v>
      </c>
      <c r="F76" s="19" t="s">
        <v>161</v>
      </c>
    </row>
    <row r="77" spans="1:7" ht="34.799999999999997" customHeight="1">
      <c r="A77" s="2">
        <f t="shared" si="2"/>
        <v>51</v>
      </c>
      <c r="B77" s="20" t="s">
        <v>162</v>
      </c>
      <c r="C77" s="20" t="s">
        <v>15</v>
      </c>
      <c r="D77" s="11" t="s">
        <v>13</v>
      </c>
      <c r="E77" s="11" t="s">
        <v>206</v>
      </c>
      <c r="F77" s="21" t="s">
        <v>163</v>
      </c>
    </row>
    <row r="78" spans="1:7" ht="34.799999999999997" customHeight="1">
      <c r="A78" s="2">
        <f t="shared" si="2"/>
        <v>52</v>
      </c>
      <c r="B78" s="20" t="s">
        <v>164</v>
      </c>
      <c r="C78" s="20" t="s">
        <v>15</v>
      </c>
      <c r="D78" s="11" t="s">
        <v>13</v>
      </c>
      <c r="E78" s="11" t="s">
        <v>206</v>
      </c>
      <c r="F78" s="21" t="s">
        <v>165</v>
      </c>
    </row>
    <row r="79" spans="1:7" ht="34.799999999999997" customHeight="1">
      <c r="A79" s="2">
        <f t="shared" si="2"/>
        <v>53</v>
      </c>
      <c r="B79" s="20" t="s">
        <v>166</v>
      </c>
      <c r="C79" s="20" t="s">
        <v>15</v>
      </c>
      <c r="D79" s="11" t="s">
        <v>13</v>
      </c>
      <c r="E79" s="11" t="s">
        <v>206</v>
      </c>
      <c r="F79" s="21" t="s">
        <v>167</v>
      </c>
    </row>
    <row r="80" spans="1:7" ht="43.2">
      <c r="A80" s="2">
        <f t="shared" si="2"/>
        <v>54</v>
      </c>
      <c r="B80" s="20" t="s">
        <v>168</v>
      </c>
      <c r="C80" s="20" t="s">
        <v>15</v>
      </c>
      <c r="D80" s="11" t="s">
        <v>13</v>
      </c>
      <c r="E80" s="11" t="s">
        <v>206</v>
      </c>
      <c r="F80" s="21" t="s">
        <v>169</v>
      </c>
    </row>
    <row r="81" spans="1:6" ht="43.2">
      <c r="A81" s="2">
        <f t="shared" si="2"/>
        <v>55</v>
      </c>
      <c r="B81" s="20" t="s">
        <v>170</v>
      </c>
      <c r="C81" s="20" t="s">
        <v>15</v>
      </c>
      <c r="D81" s="11" t="s">
        <v>13</v>
      </c>
      <c r="E81" s="11" t="s">
        <v>206</v>
      </c>
      <c r="F81" s="21" t="s">
        <v>171</v>
      </c>
    </row>
    <row r="82" spans="1:6" ht="43.2">
      <c r="A82" s="2">
        <f t="shared" si="2"/>
        <v>56</v>
      </c>
      <c r="B82" s="20" t="s">
        <v>172</v>
      </c>
      <c r="C82" s="20" t="s">
        <v>15</v>
      </c>
      <c r="D82" s="11" t="s">
        <v>13</v>
      </c>
      <c r="E82" s="11" t="s">
        <v>206</v>
      </c>
      <c r="F82" s="21" t="s">
        <v>173</v>
      </c>
    </row>
    <row r="83" spans="1:6" ht="28.8">
      <c r="A83" s="2">
        <f t="shared" si="2"/>
        <v>57</v>
      </c>
      <c r="B83" s="20" t="s">
        <v>174</v>
      </c>
      <c r="C83" s="20" t="s">
        <v>15</v>
      </c>
      <c r="D83" s="11" t="s">
        <v>13</v>
      </c>
      <c r="E83" s="11" t="s">
        <v>206</v>
      </c>
      <c r="F83" s="21" t="s">
        <v>175</v>
      </c>
    </row>
    <row r="84" spans="1:6" ht="43.2">
      <c r="A84" s="2">
        <f t="shared" si="2"/>
        <v>58</v>
      </c>
      <c r="B84" s="20" t="s">
        <v>176</v>
      </c>
      <c r="C84" s="21" t="s">
        <v>14</v>
      </c>
      <c r="D84" s="11" t="s">
        <v>13</v>
      </c>
      <c r="E84" s="11" t="s">
        <v>206</v>
      </c>
      <c r="F84" s="21" t="s">
        <v>177</v>
      </c>
    </row>
    <row r="85" spans="1:6" ht="43.2">
      <c r="A85" s="2">
        <f t="shared" si="2"/>
        <v>59</v>
      </c>
      <c r="B85" s="20" t="s">
        <v>178</v>
      </c>
      <c r="C85" s="20" t="s">
        <v>15</v>
      </c>
      <c r="D85" s="11" t="s">
        <v>13</v>
      </c>
      <c r="E85" s="11" t="s">
        <v>206</v>
      </c>
      <c r="F85" s="21" t="s">
        <v>179</v>
      </c>
    </row>
    <row r="86" spans="1:6" ht="57.6">
      <c r="A86" s="2">
        <f t="shared" si="2"/>
        <v>60</v>
      </c>
      <c r="B86" s="20" t="s">
        <v>180</v>
      </c>
      <c r="C86" s="20" t="s">
        <v>15</v>
      </c>
      <c r="D86" s="11" t="s">
        <v>13</v>
      </c>
      <c r="E86" s="11" t="s">
        <v>206</v>
      </c>
      <c r="F86" s="21" t="s">
        <v>181</v>
      </c>
    </row>
    <row r="87" spans="1:6" ht="43.2">
      <c r="A87" s="2">
        <f t="shared" si="2"/>
        <v>61</v>
      </c>
      <c r="B87" s="20" t="s">
        <v>182</v>
      </c>
      <c r="C87" s="20" t="s">
        <v>15</v>
      </c>
      <c r="D87" s="11" t="s">
        <v>13</v>
      </c>
      <c r="E87" s="11" t="s">
        <v>206</v>
      </c>
      <c r="F87" s="21" t="s">
        <v>183</v>
      </c>
    </row>
    <row r="88" spans="1:6" ht="57.6">
      <c r="A88" s="2">
        <f t="shared" si="2"/>
        <v>62</v>
      </c>
      <c r="B88" s="20" t="s">
        <v>184</v>
      </c>
      <c r="C88" s="20" t="s">
        <v>15</v>
      </c>
      <c r="D88" s="11" t="s">
        <v>13</v>
      </c>
      <c r="E88" s="11" t="s">
        <v>206</v>
      </c>
      <c r="F88" s="21" t="s">
        <v>185</v>
      </c>
    </row>
    <row r="89" spans="1:6" ht="57.6">
      <c r="A89" s="2">
        <f t="shared" si="2"/>
        <v>63</v>
      </c>
      <c r="B89" s="20" t="s">
        <v>186</v>
      </c>
      <c r="C89" s="20" t="s">
        <v>15</v>
      </c>
      <c r="D89" s="11" t="s">
        <v>13</v>
      </c>
      <c r="E89" s="11" t="s">
        <v>206</v>
      </c>
      <c r="F89" s="21" t="s">
        <v>187</v>
      </c>
    </row>
    <row r="90" spans="1:6" ht="43.2">
      <c r="A90" s="2">
        <f t="shared" si="2"/>
        <v>64</v>
      </c>
      <c r="B90" s="20" t="s">
        <v>188</v>
      </c>
      <c r="C90" s="20" t="s">
        <v>15</v>
      </c>
      <c r="D90" s="11" t="s">
        <v>13</v>
      </c>
      <c r="E90" s="11" t="s">
        <v>206</v>
      </c>
      <c r="F90" s="21" t="s">
        <v>189</v>
      </c>
    </row>
    <row r="91" spans="1:6" ht="43.2">
      <c r="A91" s="2">
        <f t="shared" si="2"/>
        <v>65</v>
      </c>
      <c r="B91" s="20" t="s">
        <v>190</v>
      </c>
      <c r="C91" s="20" t="s">
        <v>15</v>
      </c>
      <c r="D91" s="11" t="s">
        <v>13</v>
      </c>
      <c r="E91" s="11" t="s">
        <v>206</v>
      </c>
      <c r="F91" s="21" t="s">
        <v>191</v>
      </c>
    </row>
    <row r="92" spans="1:6" ht="28.8">
      <c r="A92" s="2">
        <f t="shared" si="2"/>
        <v>66</v>
      </c>
      <c r="B92" s="20" t="s">
        <v>192</v>
      </c>
      <c r="C92" s="20" t="s">
        <v>15</v>
      </c>
      <c r="D92" s="11" t="s">
        <v>13</v>
      </c>
      <c r="E92" s="11" t="s">
        <v>206</v>
      </c>
      <c r="F92" s="21" t="s">
        <v>193</v>
      </c>
    </row>
    <row r="93" spans="1:6" ht="28.8">
      <c r="A93" s="2">
        <f t="shared" ref="A93:A98" si="3">A92+1</f>
        <v>67</v>
      </c>
      <c r="B93" s="20" t="s">
        <v>194</v>
      </c>
      <c r="C93" s="20" t="s">
        <v>15</v>
      </c>
      <c r="D93" s="11" t="s">
        <v>13</v>
      </c>
      <c r="E93" s="11" t="s">
        <v>206</v>
      </c>
      <c r="F93" s="21" t="s">
        <v>195</v>
      </c>
    </row>
    <row r="94" spans="1:6" ht="43.2">
      <c r="A94" s="2">
        <f t="shared" si="3"/>
        <v>68</v>
      </c>
      <c r="B94" s="20" t="s">
        <v>196</v>
      </c>
      <c r="C94" s="20" t="s">
        <v>15</v>
      </c>
      <c r="D94" s="11" t="s">
        <v>13</v>
      </c>
      <c r="E94" s="11" t="s">
        <v>206</v>
      </c>
      <c r="F94" s="21" t="s">
        <v>197</v>
      </c>
    </row>
    <row r="95" spans="1:6" ht="43.2">
      <c r="A95" s="2">
        <f t="shared" si="3"/>
        <v>69</v>
      </c>
      <c r="B95" s="20" t="s">
        <v>198</v>
      </c>
      <c r="C95" s="20" t="s">
        <v>15</v>
      </c>
      <c r="D95" s="11" t="s">
        <v>13</v>
      </c>
      <c r="E95" s="11" t="s">
        <v>206</v>
      </c>
      <c r="F95" s="21" t="s">
        <v>199</v>
      </c>
    </row>
    <row r="96" spans="1:6" ht="43.2">
      <c r="A96" s="2">
        <f t="shared" si="3"/>
        <v>70</v>
      </c>
      <c r="B96" s="20" t="s">
        <v>200</v>
      </c>
      <c r="C96" s="20" t="s">
        <v>15</v>
      </c>
      <c r="D96" s="11" t="s">
        <v>13</v>
      </c>
      <c r="E96" s="11" t="s">
        <v>206</v>
      </c>
      <c r="F96" s="21" t="s">
        <v>201</v>
      </c>
    </row>
    <row r="97" spans="1:6" ht="43.2">
      <c r="A97" s="2">
        <f t="shared" si="3"/>
        <v>71</v>
      </c>
      <c r="B97" s="20" t="s">
        <v>202</v>
      </c>
      <c r="C97" s="20" t="s">
        <v>15</v>
      </c>
      <c r="D97" s="11" t="s">
        <v>13</v>
      </c>
      <c r="E97" s="11" t="s">
        <v>206</v>
      </c>
      <c r="F97" s="21" t="s">
        <v>203</v>
      </c>
    </row>
    <row r="98" spans="1:6" ht="43.2">
      <c r="A98" s="2">
        <f t="shared" si="3"/>
        <v>72</v>
      </c>
      <c r="B98" s="20" t="s">
        <v>204</v>
      </c>
      <c r="C98" s="20" t="s">
        <v>15</v>
      </c>
      <c r="D98" s="11" t="s">
        <v>13</v>
      </c>
      <c r="E98" s="11" t="s">
        <v>206</v>
      </c>
      <c r="F98" s="21" t="s">
        <v>205</v>
      </c>
    </row>
    <row r="99" spans="1:6">
      <c r="B99" s="3"/>
    </row>
    <row r="100" spans="1:6">
      <c r="B100" s="3"/>
    </row>
  </sheetData>
  <mergeCells count="2">
    <mergeCell ref="B25:E25"/>
    <mergeCell ref="B1:D1"/>
  </mergeCell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9CA9-AEFD-4ADB-B3BC-A99AE3CF0C83}">
  <dimension ref="A1"/>
  <sheetViews>
    <sheetView workbookViewId="0">
      <selection sqref="A1:G40"/>
    </sheetView>
  </sheetViews>
  <sheetFormatPr baseColWidth="10"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Aguilon Muñoz</dc:creator>
  <cp:keywords/>
  <dc:description/>
  <cp:lastModifiedBy>Santiago Aguilon Muñoz</cp:lastModifiedBy>
  <cp:revision/>
  <cp:lastPrinted>2026-08-17T18:49:42Z</cp:lastPrinted>
  <dcterms:created xsi:type="dcterms:W3CDTF">2026-08-17T17:24:36Z</dcterms:created>
  <dcterms:modified xsi:type="dcterms:W3CDTF">2026-09-07T22:21:49Z</dcterms:modified>
  <cp:category/>
  <cp:contentStatus/>
</cp:coreProperties>
</file>